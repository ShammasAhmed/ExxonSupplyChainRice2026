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hamm\OneDrive\Desktop\ExxonSupplyChainRice2026\"/>
    </mc:Choice>
  </mc:AlternateContent>
  <xr:revisionPtr revIDLastSave="0" documentId="13_ncr:1_{28DF7180-329D-4053-83CC-839B8A7B2356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Sources" sheetId="1" r:id="rId1"/>
    <sheet name="Sinks" sheetId="2" r:id="rId2"/>
    <sheet name="Edg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2" l="1"/>
  <c r="K10" i="2"/>
  <c r="J10" i="2"/>
  <c r="L9" i="2"/>
  <c r="K9" i="2"/>
  <c r="J9" i="2"/>
  <c r="L8" i="2"/>
  <c r="K8" i="2"/>
  <c r="J8" i="2"/>
  <c r="L7" i="2"/>
  <c r="K7" i="2"/>
  <c r="J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L11" i="1"/>
  <c r="K11" i="1"/>
  <c r="J11" i="1"/>
  <c r="L10" i="1"/>
  <c r="K10" i="1"/>
  <c r="J10" i="1"/>
  <c r="L9" i="1"/>
  <c r="K9" i="1"/>
  <c r="J9" i="1"/>
  <c r="L8" i="1"/>
  <c r="K8" i="1"/>
  <c r="J8" i="1"/>
  <c r="L7" i="1"/>
  <c r="K7" i="1"/>
  <c r="J7" i="1"/>
  <c r="L6" i="1"/>
  <c r="K6" i="1"/>
  <c r="J6" i="1"/>
  <c r="L5" i="1"/>
  <c r="K5" i="1"/>
  <c r="J5" i="1"/>
  <c r="L4" i="1"/>
  <c r="K4" i="1"/>
  <c r="J4" i="1"/>
  <c r="L3" i="1"/>
  <c r="K3" i="1"/>
  <c r="J3" i="1"/>
  <c r="L2" i="1"/>
  <c r="K2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tc={9657acb3-d37a-49c5-ada1-034a7516d7cb}</author>
  </authors>
  <commentList>
    <comment ref="M1" authorId="0" shapeId="0" xr:uid="{9657ACB3-D37A-49C5-ADA1-034A7516D7CB}">
      <text>
        <t>[Threaded comment]
Your version of Excel allows you to read this threaded comment; however, any edits to it will get removed if the file is opened in a newer version of Excel. Learn more: https://go.microsoft.com/fwlink/?linkid=870924
Comment:
    50% liquid caustic has density of ~1.52g/cm3</t>
      </text>
    </comment>
  </commentList>
</comments>
</file>

<file path=xl/sharedStrings.xml><?xml version="1.0" encoding="utf-8"?>
<sst xmlns="http://schemas.openxmlformats.org/spreadsheetml/2006/main" count="101" uniqueCount="66">
  <si>
    <t>Name</t>
  </si>
  <si>
    <t>City</t>
  </si>
  <si>
    <t>State</t>
  </si>
  <si>
    <t>Country</t>
  </si>
  <si>
    <t>Longitude</t>
  </si>
  <si>
    <t>Latitude</t>
  </si>
  <si>
    <t>Bear Production (DMT/yr)</t>
  </si>
  <si>
    <t>Base Production (DMT/yr)</t>
  </si>
  <si>
    <t>Bull Production (DMT/yr)</t>
  </si>
  <si>
    <t>Bear Production (DST/yr)</t>
  </si>
  <si>
    <t>Base Production (DST/yr)</t>
  </si>
  <si>
    <t>Bull Production (DST/yr)</t>
  </si>
  <si>
    <t>Olin Chlor Alkali Freeport Complex</t>
  </si>
  <si>
    <t>Freeport</t>
  </si>
  <si>
    <t>Texas</t>
  </si>
  <si>
    <t>USA</t>
  </si>
  <si>
    <t>Westlake Chemical Lake Charles Complex</t>
  </si>
  <si>
    <t>Lake Charles</t>
  </si>
  <si>
    <t>Louisiana</t>
  </si>
  <si>
    <t>Olin Plaquemine Plant</t>
  </si>
  <si>
    <t>Plaquemine</t>
  </si>
  <si>
    <t>Shintech Plaquemine Chlor-Alkali Plant</t>
  </si>
  <si>
    <t>Formosa Plastics Point Comfort Plant</t>
  </si>
  <si>
    <t>Point Comfort</t>
  </si>
  <si>
    <t>OxyChem Taft Plant</t>
  </si>
  <si>
    <t>Hahnville</t>
  </si>
  <si>
    <t>OxyChem Geismar Plant</t>
  </si>
  <si>
    <t>Geismar</t>
  </si>
  <si>
    <t>Olin McIntosh Plant</t>
  </si>
  <si>
    <t>McIntosh</t>
  </si>
  <si>
    <t>Alabama</t>
  </si>
  <si>
    <t>OxyChem Ingleside Plant</t>
  </si>
  <si>
    <t>Ingleside</t>
  </si>
  <si>
    <t>Westlake Chemical Calvert City Plant</t>
  </si>
  <si>
    <t>Calvert City</t>
  </si>
  <si>
    <t>Kentucky</t>
  </si>
  <si>
    <t>Facility Name</t>
  </si>
  <si>
    <t>Bear Demand (DMT/yr)</t>
  </si>
  <si>
    <t>Base Demand (DMT/yr)</t>
  </si>
  <si>
    <t>Bull Demand (DMT/yr)</t>
  </si>
  <si>
    <t>Bear Demand (DST/yr)</t>
  </si>
  <si>
    <t>Base Demand (DST/yr)</t>
  </si>
  <si>
    <t>Bull Demand (DST/yr)</t>
  </si>
  <si>
    <t>Volumetric Caustic (Gal/Yr)</t>
  </si>
  <si>
    <t>North Slope Processing Facilities</t>
  </si>
  <si>
    <t>Prudhoe Bay &amp; Point Thomson</t>
  </si>
  <si>
    <t>Alaska</t>
  </si>
  <si>
    <t>Pensacola Plant</t>
  </si>
  <si>
    <t>Pensacola</t>
  </si>
  <si>
    <t>Florida</t>
  </si>
  <si>
    <t>Joliet Refinery</t>
  </si>
  <si>
    <t>Channahon / Joliet</t>
  </si>
  <si>
    <t>Illinois</t>
  </si>
  <si>
    <t>Baton Rouge Complex</t>
  </si>
  <si>
    <t>Baton Rouge</t>
  </si>
  <si>
    <t>Linden / Bayway Chemical Plant</t>
  </si>
  <si>
    <t>Linden</t>
  </si>
  <si>
    <t>New Jersey</t>
  </si>
  <si>
    <t>Baytown Complex</t>
  </si>
  <si>
    <t>Baytown</t>
  </si>
  <si>
    <t>Beaumont Complex</t>
  </si>
  <si>
    <t>Beaumont</t>
  </si>
  <si>
    <t>Mont Belvieu Plastics Plant</t>
  </si>
  <si>
    <t>Mont Belvieu</t>
  </si>
  <si>
    <t>Gulf Coast Growth Ventures (GCGV)</t>
  </si>
  <si>
    <t>San Patricio County / Corpus Christi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</si>
</sst>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2"/>
      <color theme="0"/>
      <name val="Arial"/>
      <scheme val="minor"/>
    </font>
    <font>
      <b/>
      <sz val="12"/>
      <color rgb="FFFFFFFF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i/>
      <sz val="9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/>
    <xf numFmtId="0" fontId="4" fillId="0" borderId="0" xfId="0" applyFont="1" applyAlignment="1">
      <alignment horizontal="right"/>
    </xf>
    <xf numFmtId="3" fontId="4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3" fillId="0" borderId="2" xfId="0" applyNumberFormat="1" applyFont="1" applyBorder="1" applyAlignment="1">
      <alignment horizontal="center"/>
    </xf>
    <xf numFmtId="3" fontId="3" fillId="0" borderId="0" xfId="0" applyNumberFormat="1" applyFont="1"/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hammas Ahmed" id="{7149D9B8-27BE-4AC8-8663-693842E25966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6-10-03T21:19:56.00" personId="{7149D9B8-27BE-4AC8-8663-693842E25966}" id="{9657ACB3-D37A-49C5-ADA1-034A7516D7CB}">
    <text>50% liquid caustic has density of ~1.52g/cm3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1"/>
  <sheetViews>
    <sheetView workbookViewId="0">
      <selection activeCell="I1" sqref="I1"/>
    </sheetView>
  </sheetViews>
  <sheetFormatPr defaultColWidth="12.6640625" defaultRowHeight="15.75" customHeight="1" x14ac:dyDescent="0.25"/>
  <cols>
    <col min="1" max="1" width="32.44140625" customWidth="1"/>
    <col min="7" max="7" width="24.77734375" customWidth="1"/>
    <col min="8" max="8" width="23.109375" customWidth="1"/>
    <col min="9" max="9" width="15.88671875" customWidth="1"/>
    <col min="10" max="10" width="16.44140625" customWidth="1"/>
    <col min="11" max="11" width="16.88671875" customWidth="1"/>
    <col min="12" max="12" width="15.88671875" customWidth="1"/>
  </cols>
  <sheetData>
    <row r="1" spans="1:2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4" t="s">
        <v>12</v>
      </c>
      <c r="B2" s="4" t="s">
        <v>13</v>
      </c>
      <c r="C2" s="4" t="s">
        <v>14</v>
      </c>
      <c r="D2" s="4" t="s">
        <v>15</v>
      </c>
      <c r="E2" s="5">
        <v>-95.359700000000004</v>
      </c>
      <c r="F2" s="5">
        <v>28.9543</v>
      </c>
      <c r="G2" s="6">
        <v>2250000</v>
      </c>
      <c r="H2" s="6">
        <v>2640000</v>
      </c>
      <c r="I2" s="6">
        <v>2940000</v>
      </c>
      <c r="J2" s="7">
        <f t="shared" ref="J2:L2" si="0">G2*1.10231</f>
        <v>2480197.5</v>
      </c>
      <c r="K2" s="7">
        <f t="shared" si="0"/>
        <v>2910098.4</v>
      </c>
      <c r="L2" s="7">
        <f t="shared" si="0"/>
        <v>3240791.4</v>
      </c>
    </row>
    <row r="3" spans="1:25" x14ac:dyDescent="0.25">
      <c r="A3" s="4" t="s">
        <v>16</v>
      </c>
      <c r="B3" s="4" t="s">
        <v>17</v>
      </c>
      <c r="C3" s="4" t="s">
        <v>18</v>
      </c>
      <c r="D3" s="4" t="s">
        <v>15</v>
      </c>
      <c r="E3" s="5">
        <v>-93.284199999999998</v>
      </c>
      <c r="F3" s="5">
        <v>30.213100000000001</v>
      </c>
      <c r="G3" s="6">
        <v>900000</v>
      </c>
      <c r="H3" s="6">
        <v>1056000</v>
      </c>
      <c r="I3" s="6">
        <v>1176000</v>
      </c>
      <c r="J3" s="7">
        <f t="shared" ref="J3:L3" si="1">G3*1.10231</f>
        <v>992078.99999999988</v>
      </c>
      <c r="K3" s="7">
        <f t="shared" si="1"/>
        <v>1164039.3599999999</v>
      </c>
      <c r="L3" s="7">
        <f t="shared" si="1"/>
        <v>1296316.5599999998</v>
      </c>
    </row>
    <row r="4" spans="1:25" x14ac:dyDescent="0.25">
      <c r="A4" s="4" t="s">
        <v>19</v>
      </c>
      <c r="B4" s="4" t="s">
        <v>20</v>
      </c>
      <c r="C4" s="4" t="s">
        <v>18</v>
      </c>
      <c r="D4" s="4" t="s">
        <v>15</v>
      </c>
      <c r="E4" s="5">
        <v>-91.222999999999999</v>
      </c>
      <c r="F4" s="5">
        <v>30.268000000000001</v>
      </c>
      <c r="G4" s="6">
        <v>750000</v>
      </c>
      <c r="H4" s="6">
        <v>880000</v>
      </c>
      <c r="I4" s="6">
        <v>980000</v>
      </c>
      <c r="J4" s="7">
        <f t="shared" ref="J4:L4" si="2">G4*1.10231</f>
        <v>826732.49999999988</v>
      </c>
      <c r="K4" s="7">
        <f t="shared" si="2"/>
        <v>970032.79999999993</v>
      </c>
      <c r="L4" s="7">
        <f t="shared" si="2"/>
        <v>1080263.7999999998</v>
      </c>
    </row>
    <row r="5" spans="1:25" x14ac:dyDescent="0.25">
      <c r="A5" s="4" t="s">
        <v>21</v>
      </c>
      <c r="B5" s="4" t="s">
        <v>20</v>
      </c>
      <c r="C5" s="4" t="s">
        <v>18</v>
      </c>
      <c r="D5" s="4" t="s">
        <v>15</v>
      </c>
      <c r="E5" s="5">
        <v>-91.221500000000006</v>
      </c>
      <c r="F5" s="5">
        <v>30.252199999999998</v>
      </c>
      <c r="G5" s="6">
        <v>637500</v>
      </c>
      <c r="H5" s="6">
        <v>748000</v>
      </c>
      <c r="I5" s="6">
        <v>833000</v>
      </c>
      <c r="J5" s="7">
        <f t="shared" ref="J5:L5" si="3">G5*1.10231</f>
        <v>702722.62499999988</v>
      </c>
      <c r="K5" s="7">
        <f t="shared" si="3"/>
        <v>824527.87999999989</v>
      </c>
      <c r="L5" s="7">
        <f t="shared" si="3"/>
        <v>918224.22999999986</v>
      </c>
    </row>
    <row r="6" spans="1:25" x14ac:dyDescent="0.25">
      <c r="A6" s="4" t="s">
        <v>22</v>
      </c>
      <c r="B6" s="4" t="s">
        <v>23</v>
      </c>
      <c r="C6" s="4" t="s">
        <v>14</v>
      </c>
      <c r="D6" s="4" t="s">
        <v>15</v>
      </c>
      <c r="E6" s="5">
        <v>-96.558300000000003</v>
      </c>
      <c r="F6" s="5">
        <v>28.694199999999999</v>
      </c>
      <c r="G6" s="6">
        <v>600000</v>
      </c>
      <c r="H6" s="6">
        <v>704000</v>
      </c>
      <c r="I6" s="6">
        <v>784000</v>
      </c>
      <c r="J6" s="7">
        <f t="shared" ref="J6:L6" si="4">G6*1.10231</f>
        <v>661385.99999999988</v>
      </c>
      <c r="K6" s="7">
        <f t="shared" si="4"/>
        <v>776026.23999999987</v>
      </c>
      <c r="L6" s="7">
        <f t="shared" si="4"/>
        <v>864211.03999999992</v>
      </c>
    </row>
    <row r="7" spans="1:25" x14ac:dyDescent="0.25">
      <c r="A7" s="4" t="s">
        <v>24</v>
      </c>
      <c r="B7" s="4" t="s">
        <v>25</v>
      </c>
      <c r="C7" s="4" t="s">
        <v>18</v>
      </c>
      <c r="D7" s="4" t="s">
        <v>15</v>
      </c>
      <c r="E7" s="5">
        <v>-90.457800000000006</v>
      </c>
      <c r="F7" s="5">
        <v>29.992799999999999</v>
      </c>
      <c r="G7" s="6">
        <v>562500</v>
      </c>
      <c r="H7" s="6">
        <v>660000</v>
      </c>
      <c r="I7" s="6">
        <v>735000</v>
      </c>
      <c r="J7" s="7">
        <f t="shared" ref="J7:L7" si="5">G7*1.10231</f>
        <v>620049.375</v>
      </c>
      <c r="K7" s="7">
        <f t="shared" si="5"/>
        <v>727524.6</v>
      </c>
      <c r="L7" s="7">
        <f t="shared" si="5"/>
        <v>810197.85</v>
      </c>
    </row>
    <row r="8" spans="1:25" x14ac:dyDescent="0.25">
      <c r="A8" s="4" t="s">
        <v>26</v>
      </c>
      <c r="B8" s="4" t="s">
        <v>27</v>
      </c>
      <c r="C8" s="4" t="s">
        <v>18</v>
      </c>
      <c r="D8" s="4" t="s">
        <v>15</v>
      </c>
      <c r="E8" s="5">
        <v>-91.0261</v>
      </c>
      <c r="F8" s="5">
        <v>30.222300000000001</v>
      </c>
      <c r="G8" s="6">
        <v>525000</v>
      </c>
      <c r="H8" s="6">
        <v>616000</v>
      </c>
      <c r="I8" s="6">
        <v>686000</v>
      </c>
      <c r="J8" s="7">
        <f t="shared" ref="J8:L8" si="6">G8*1.10231</f>
        <v>578712.75</v>
      </c>
      <c r="K8" s="7">
        <f t="shared" si="6"/>
        <v>679022.96</v>
      </c>
      <c r="L8" s="7">
        <f t="shared" si="6"/>
        <v>756184.65999999992</v>
      </c>
    </row>
    <row r="9" spans="1:25" x14ac:dyDescent="0.25">
      <c r="A9" s="4" t="s">
        <v>28</v>
      </c>
      <c r="B9" s="4" t="s">
        <v>29</v>
      </c>
      <c r="C9" s="4" t="s">
        <v>30</v>
      </c>
      <c r="D9" s="4" t="s">
        <v>15</v>
      </c>
      <c r="E9" s="5">
        <v>-88.033600000000007</v>
      </c>
      <c r="F9" s="5">
        <v>31.268799999999999</v>
      </c>
      <c r="G9" s="6">
        <v>450000</v>
      </c>
      <c r="H9" s="6">
        <v>528000</v>
      </c>
      <c r="I9" s="6">
        <v>588000</v>
      </c>
      <c r="J9" s="7">
        <f t="shared" ref="J9:L9" si="7">G9*1.10231</f>
        <v>496039.49999999994</v>
      </c>
      <c r="K9" s="7">
        <f t="shared" si="7"/>
        <v>582019.67999999993</v>
      </c>
      <c r="L9" s="7">
        <f t="shared" si="7"/>
        <v>648158.27999999991</v>
      </c>
    </row>
    <row r="10" spans="1:25" x14ac:dyDescent="0.25">
      <c r="A10" s="4" t="s">
        <v>31</v>
      </c>
      <c r="B10" s="4" t="s">
        <v>32</v>
      </c>
      <c r="C10" s="4" t="s">
        <v>14</v>
      </c>
      <c r="D10" s="4" t="s">
        <v>15</v>
      </c>
      <c r="E10" s="5">
        <v>-97.228899999999996</v>
      </c>
      <c r="F10" s="5">
        <v>27.8828</v>
      </c>
      <c r="G10" s="6">
        <v>412500</v>
      </c>
      <c r="H10" s="6">
        <v>484000</v>
      </c>
      <c r="I10" s="6">
        <v>539000</v>
      </c>
      <c r="J10" s="7">
        <f t="shared" ref="J10:L10" si="8">G10*1.10231</f>
        <v>454702.87499999994</v>
      </c>
      <c r="K10" s="7">
        <f t="shared" si="8"/>
        <v>533518.03999999992</v>
      </c>
      <c r="L10" s="7">
        <f t="shared" si="8"/>
        <v>594145.09</v>
      </c>
    </row>
    <row r="11" spans="1:25" x14ac:dyDescent="0.25">
      <c r="A11" s="4" t="s">
        <v>33</v>
      </c>
      <c r="B11" s="4" t="s">
        <v>34</v>
      </c>
      <c r="C11" s="4" t="s">
        <v>35</v>
      </c>
      <c r="D11" s="4" t="s">
        <v>15</v>
      </c>
      <c r="E11" s="5">
        <v>-88.351200000000006</v>
      </c>
      <c r="F11" s="5">
        <v>37.034500000000001</v>
      </c>
      <c r="G11" s="6">
        <v>337500</v>
      </c>
      <c r="H11" s="6">
        <v>396000</v>
      </c>
      <c r="I11" s="6">
        <v>441000</v>
      </c>
      <c r="J11" s="7">
        <f t="shared" ref="J11:L11" si="9">G11*1.10231</f>
        <v>372029.62499999994</v>
      </c>
      <c r="K11" s="7">
        <f t="shared" si="9"/>
        <v>436514.75999999995</v>
      </c>
      <c r="L11" s="7">
        <f t="shared" si="9"/>
        <v>486118.70999999996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B21"/>
  <sheetViews>
    <sheetView tabSelected="1" workbookViewId="0">
      <selection activeCell="I16" sqref="I16"/>
    </sheetView>
  </sheetViews>
  <sheetFormatPr defaultColWidth="12.6640625" defaultRowHeight="15.75" customHeight="1" x14ac:dyDescent="0.25"/>
  <cols>
    <col min="1" max="1" width="30.77734375" customWidth="1"/>
    <col min="2" max="2" width="29.6640625" customWidth="1"/>
    <col min="3" max="3" width="10.21875" customWidth="1"/>
    <col min="5" max="5" width="11.44140625" customWidth="1"/>
    <col min="6" max="6" width="10.6640625" customWidth="1"/>
    <col min="7" max="7" width="19.109375" customWidth="1"/>
    <col min="8" max="8" width="19.88671875" customWidth="1"/>
    <col min="9" max="9" width="21.109375" customWidth="1"/>
    <col min="10" max="13" width="19.109375" customWidth="1"/>
  </cols>
  <sheetData>
    <row r="1" spans="1:28" x14ac:dyDescent="0.25">
      <c r="A1" s="2" t="s">
        <v>36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37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42</v>
      </c>
      <c r="M1" s="2" t="s">
        <v>43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x14ac:dyDescent="0.25">
      <c r="A2" s="8" t="s">
        <v>44</v>
      </c>
      <c r="B2" s="8" t="s">
        <v>45</v>
      </c>
      <c r="C2" s="8" t="s">
        <v>46</v>
      </c>
      <c r="D2" s="8" t="s">
        <v>15</v>
      </c>
      <c r="E2" s="15">
        <v>-148.33840000000001</v>
      </c>
      <c r="F2" s="15">
        <v>70.255200000000002</v>
      </c>
      <c r="G2" s="9">
        <v>600</v>
      </c>
      <c r="H2" s="10">
        <v>1200</v>
      </c>
      <c r="I2" s="10">
        <v>2000</v>
      </c>
      <c r="J2" s="11">
        <f t="shared" ref="J2:L2" si="0">G2*1.10231</f>
        <v>661.38599999999997</v>
      </c>
      <c r="K2" s="10">
        <f t="shared" si="0"/>
        <v>1322.7719999999999</v>
      </c>
      <c r="L2" s="10">
        <f t="shared" si="0"/>
        <v>2204.62</v>
      </c>
      <c r="M2" s="12">
        <v>380000</v>
      </c>
      <c r="N2" s="13"/>
    </row>
    <row r="3" spans="1:28" x14ac:dyDescent="0.25">
      <c r="A3" s="8" t="s">
        <v>47</v>
      </c>
      <c r="B3" s="8" t="s">
        <v>48</v>
      </c>
      <c r="C3" s="8" t="s">
        <v>49</v>
      </c>
      <c r="D3" s="8" t="s">
        <v>15</v>
      </c>
      <c r="E3" s="15">
        <v>-87.271100000000004</v>
      </c>
      <c r="F3" s="15">
        <v>30.603300000000001</v>
      </c>
      <c r="G3" s="9">
        <v>400</v>
      </c>
      <c r="H3" s="8">
        <v>800</v>
      </c>
      <c r="I3" s="10">
        <v>1300</v>
      </c>
      <c r="J3" s="11">
        <f t="shared" ref="J3:L3" si="1">G3*1.10231</f>
        <v>440.92399999999998</v>
      </c>
      <c r="K3" s="10">
        <f t="shared" si="1"/>
        <v>881.84799999999996</v>
      </c>
      <c r="L3" s="10">
        <f t="shared" si="1"/>
        <v>1433.0029999999999</v>
      </c>
      <c r="M3" s="12">
        <v>250000</v>
      </c>
      <c r="N3" s="13"/>
    </row>
    <row r="4" spans="1:28" x14ac:dyDescent="0.25">
      <c r="A4" s="8" t="s">
        <v>50</v>
      </c>
      <c r="B4" s="8" t="s">
        <v>51</v>
      </c>
      <c r="C4" s="8" t="s">
        <v>52</v>
      </c>
      <c r="D4" s="8" t="s">
        <v>15</v>
      </c>
      <c r="E4" s="15">
        <v>-88.180300000000003</v>
      </c>
      <c r="F4" s="15">
        <v>41.428600000000003</v>
      </c>
      <c r="G4" s="11">
        <v>3500</v>
      </c>
      <c r="H4" s="10">
        <v>5500</v>
      </c>
      <c r="I4" s="10">
        <v>8000</v>
      </c>
      <c r="J4" s="11">
        <f t="shared" ref="J4:L4" si="2">G4*1.10231</f>
        <v>3858.0849999999996</v>
      </c>
      <c r="K4" s="10">
        <f t="shared" si="2"/>
        <v>6062.704999999999</v>
      </c>
      <c r="L4" s="10">
        <f t="shared" si="2"/>
        <v>8818.48</v>
      </c>
      <c r="M4" s="12">
        <v>1730000</v>
      </c>
      <c r="N4" s="13"/>
    </row>
    <row r="5" spans="1:28" x14ac:dyDescent="0.25">
      <c r="A5" s="8" t="s">
        <v>53</v>
      </c>
      <c r="B5" s="8" t="s">
        <v>54</v>
      </c>
      <c r="C5" s="8" t="s">
        <v>18</v>
      </c>
      <c r="D5" s="8" t="s">
        <v>15</v>
      </c>
      <c r="E5" s="15">
        <v>-91.189499999999995</v>
      </c>
      <c r="F5" s="15">
        <v>30.485099999999999</v>
      </c>
      <c r="G5" s="11">
        <v>10000</v>
      </c>
      <c r="H5" s="10">
        <v>15000</v>
      </c>
      <c r="I5" s="10">
        <v>21000</v>
      </c>
      <c r="J5" s="11">
        <f t="shared" ref="J5:L5" si="3">G5*1.10231</f>
        <v>11023.099999999999</v>
      </c>
      <c r="K5" s="10">
        <f t="shared" si="3"/>
        <v>16534.649999999998</v>
      </c>
      <c r="L5" s="10">
        <f t="shared" si="3"/>
        <v>23148.51</v>
      </c>
      <c r="M5" s="12">
        <v>4710000</v>
      </c>
      <c r="N5" s="13"/>
    </row>
    <row r="6" spans="1:28" x14ac:dyDescent="0.25">
      <c r="A6" s="8" t="s">
        <v>55</v>
      </c>
      <c r="B6" s="8" t="s">
        <v>56</v>
      </c>
      <c r="C6" s="8" t="s">
        <v>57</v>
      </c>
      <c r="D6" s="8" t="s">
        <v>15</v>
      </c>
      <c r="E6" s="15">
        <v>-74.225099999999998</v>
      </c>
      <c r="F6" s="15">
        <v>40.6387</v>
      </c>
      <c r="G6" s="9">
        <v>800</v>
      </c>
      <c r="H6" s="10">
        <v>1500</v>
      </c>
      <c r="I6" s="10">
        <v>2500</v>
      </c>
      <c r="J6" s="11">
        <f t="shared" ref="J6:L6" si="4">G6*1.10231</f>
        <v>881.84799999999996</v>
      </c>
      <c r="K6" s="10">
        <f t="shared" si="4"/>
        <v>1653.4649999999999</v>
      </c>
      <c r="L6" s="10">
        <f t="shared" si="4"/>
        <v>2755.7749999999996</v>
      </c>
      <c r="M6" s="12">
        <v>470000</v>
      </c>
      <c r="N6" s="13"/>
    </row>
    <row r="7" spans="1:28" x14ac:dyDescent="0.25">
      <c r="A7" s="8" t="s">
        <v>58</v>
      </c>
      <c r="B7" s="8" t="s">
        <v>59</v>
      </c>
      <c r="C7" s="8" t="s">
        <v>14</v>
      </c>
      <c r="D7" s="8" t="s">
        <v>15</v>
      </c>
      <c r="E7" s="15">
        <v>-95.011799999999994</v>
      </c>
      <c r="F7" s="15">
        <v>29.740200000000002</v>
      </c>
      <c r="G7" s="11">
        <v>12000</v>
      </c>
      <c r="H7" s="10">
        <v>18000</v>
      </c>
      <c r="I7" s="10">
        <v>25000</v>
      </c>
      <c r="J7" s="11">
        <f t="shared" ref="J7:L7" si="5">G7*1.10231</f>
        <v>13227.72</v>
      </c>
      <c r="K7" s="10">
        <f t="shared" si="5"/>
        <v>19841.579999999998</v>
      </c>
      <c r="L7" s="10">
        <f t="shared" si="5"/>
        <v>27557.749999999996</v>
      </c>
      <c r="M7" s="12">
        <v>5650000</v>
      </c>
      <c r="N7" s="13"/>
    </row>
    <row r="8" spans="1:28" x14ac:dyDescent="0.25">
      <c r="A8" s="8" t="s">
        <v>60</v>
      </c>
      <c r="B8" s="8" t="s">
        <v>61</v>
      </c>
      <c r="C8" s="8" t="s">
        <v>14</v>
      </c>
      <c r="D8" s="8" t="s">
        <v>15</v>
      </c>
      <c r="E8" s="15">
        <v>-94.084699999999998</v>
      </c>
      <c r="F8" s="15">
        <v>30.068300000000001</v>
      </c>
      <c r="G8" s="11">
        <v>11000</v>
      </c>
      <c r="H8" s="10">
        <v>16500</v>
      </c>
      <c r="I8" s="10">
        <v>23000</v>
      </c>
      <c r="J8" s="11">
        <f t="shared" ref="J8:L8" si="6">G8*1.10231</f>
        <v>12125.409999999998</v>
      </c>
      <c r="K8" s="10">
        <f t="shared" si="6"/>
        <v>18188.114999999998</v>
      </c>
      <c r="L8" s="10">
        <f t="shared" si="6"/>
        <v>25353.129999999997</v>
      </c>
      <c r="M8" s="12">
        <v>5180000</v>
      </c>
      <c r="N8" s="13"/>
    </row>
    <row r="9" spans="1:28" x14ac:dyDescent="0.25">
      <c r="A9" s="8" t="s">
        <v>62</v>
      </c>
      <c r="B9" s="8" t="s">
        <v>63</v>
      </c>
      <c r="C9" s="8" t="s">
        <v>14</v>
      </c>
      <c r="D9" s="8" t="s">
        <v>15</v>
      </c>
      <c r="E9" s="15">
        <v>-94.887200000000007</v>
      </c>
      <c r="F9" s="15">
        <v>29.837800000000001</v>
      </c>
      <c r="G9" s="9">
        <v>500</v>
      </c>
      <c r="H9" s="10">
        <v>1000</v>
      </c>
      <c r="I9" s="10">
        <v>1800</v>
      </c>
      <c r="J9" s="11">
        <f t="shared" ref="J9:L9" si="7">G9*1.10231</f>
        <v>551.15499999999997</v>
      </c>
      <c r="K9" s="10">
        <f t="shared" si="7"/>
        <v>1102.31</v>
      </c>
      <c r="L9" s="10">
        <f t="shared" si="7"/>
        <v>1984.1579999999999</v>
      </c>
      <c r="M9" s="12">
        <v>310000</v>
      </c>
      <c r="N9" s="13"/>
    </row>
    <row r="10" spans="1:28" x14ac:dyDescent="0.25">
      <c r="A10" s="8" t="s">
        <v>64</v>
      </c>
      <c r="B10" s="8" t="s">
        <v>65</v>
      </c>
      <c r="C10" s="8" t="s">
        <v>14</v>
      </c>
      <c r="D10" s="8" t="s">
        <v>15</v>
      </c>
      <c r="E10" s="15">
        <v>-97.288300000000007</v>
      </c>
      <c r="F10" s="15">
        <v>27.914999999999999</v>
      </c>
      <c r="G10" s="11">
        <v>2500</v>
      </c>
      <c r="H10" s="10">
        <v>4000</v>
      </c>
      <c r="I10" s="10">
        <v>6000</v>
      </c>
      <c r="J10" s="11">
        <f t="shared" ref="J10:L10" si="8">G10*1.10231</f>
        <v>2755.7749999999996</v>
      </c>
      <c r="K10" s="10">
        <f t="shared" si="8"/>
        <v>4409.24</v>
      </c>
      <c r="L10" s="10">
        <f t="shared" si="8"/>
        <v>6613.86</v>
      </c>
      <c r="M10" s="12">
        <v>1250000</v>
      </c>
      <c r="N10" s="13"/>
    </row>
    <row r="12" spans="1:28" x14ac:dyDescent="0.25">
      <c r="E12" s="8"/>
      <c r="M12" s="14"/>
    </row>
    <row r="13" spans="1:28" ht="15.75" customHeight="1" x14ac:dyDescent="0.25">
      <c r="E13" s="8"/>
      <c r="F13" s="8"/>
    </row>
    <row r="14" spans="1:28" ht="15.75" customHeight="1" x14ac:dyDescent="0.25">
      <c r="E14" s="8"/>
      <c r="F14" s="8"/>
    </row>
    <row r="15" spans="1:28" ht="15.75" customHeight="1" x14ac:dyDescent="0.25">
      <c r="E15" s="8"/>
      <c r="F15" s="8"/>
    </row>
    <row r="16" spans="1:28" ht="15.75" customHeight="1" x14ac:dyDescent="0.25">
      <c r="E16" s="8"/>
      <c r="F16" s="8"/>
    </row>
    <row r="17" spans="5:6" ht="15.75" customHeight="1" x14ac:dyDescent="0.25">
      <c r="E17" s="8"/>
      <c r="F17" s="8"/>
    </row>
    <row r="18" spans="5:6" ht="15.75" customHeight="1" x14ac:dyDescent="0.25">
      <c r="E18" s="8"/>
      <c r="F18" s="8"/>
    </row>
    <row r="19" spans="5:6" ht="15.75" customHeight="1" x14ac:dyDescent="0.25">
      <c r="E19" s="8"/>
      <c r="F19" s="8"/>
    </row>
    <row r="20" spans="5:6" ht="15.75" customHeight="1" x14ac:dyDescent="0.25">
      <c r="E20" s="8"/>
      <c r="F20" s="8"/>
    </row>
    <row r="21" spans="5:6" ht="15.75" customHeight="1" x14ac:dyDescent="0.25">
      <c r="F21" s="8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"/>
  <sheetViews>
    <sheetView workbookViewId="0"/>
  </sheetViews>
  <sheetFormatPr defaultColWidth="12.6640625" defaultRowHeight="15.75" customHeight="1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Sources</vt:lpstr>
      <vt:lpstr>Sinks</vt:lpstr>
      <vt:lpstr>Edges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Shammas Ahmed</cp:lastModifiedBy>
  <dcterms:modified xsi:type="dcterms:W3CDTF">2026-10-07T06:13:19Z</dcterms:modified>
</cp:coreProperties>
</file>