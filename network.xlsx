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66e7fef95bdf10f/Desktop/ExxonSupplyChainRice2026/"/>
    </mc:Choice>
  </mc:AlternateContent>
  <xr:revisionPtr revIDLastSave="173" documentId="13_ncr:1_{28DF7180-329D-4053-83CC-839B8A7B2356}" xr6:coauthVersionLast="47" xr6:coauthVersionMax="47" xr10:uidLastSave="{53C8BE8A-5622-478C-A04B-808374359D64}"/>
  <bookViews>
    <workbookView xWindow="47895" yWindow="0" windowWidth="19410" windowHeight="20985" xr2:uid="{00000000-000D-0000-FFFF-FFFF00000000}"/>
  </bookViews>
  <sheets>
    <sheet name="Sources" sheetId="1" r:id="rId1"/>
    <sheet name="Sinks" sheetId="2" r:id="rId2"/>
    <sheet name="Edg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2" l="1"/>
  <c r="I9" i="2"/>
  <c r="I10" i="2"/>
  <c r="I11" i="2"/>
  <c r="I7" i="2"/>
  <c r="G8" i="2"/>
  <c r="G9" i="2"/>
  <c r="G10" i="2"/>
  <c r="G11" i="2"/>
  <c r="G7" i="2"/>
  <c r="L8" i="2"/>
  <c r="L9" i="2"/>
  <c r="L10" i="2"/>
  <c r="L11" i="2"/>
  <c r="L7" i="2"/>
  <c r="J8" i="2"/>
  <c r="J9" i="2"/>
  <c r="J10" i="2"/>
  <c r="J11" i="2"/>
  <c r="J7" i="2"/>
  <c r="H8" i="2"/>
  <c r="H9" i="2"/>
  <c r="H10" i="2"/>
  <c r="H11" i="2"/>
  <c r="H7" i="2"/>
  <c r="K2" i="2"/>
  <c r="L3" i="2"/>
  <c r="L4" i="2"/>
  <c r="L5" i="2"/>
  <c r="L6" i="2"/>
  <c r="L2" i="2"/>
  <c r="K3" i="2"/>
  <c r="K4" i="2"/>
  <c r="K5" i="2"/>
  <c r="K6" i="2"/>
  <c r="J3" i="2"/>
  <c r="J4" i="2"/>
  <c r="J5" i="2"/>
  <c r="J6" i="2"/>
  <c r="J2" i="2"/>
  <c r="L3" i="1"/>
  <c r="L4" i="1"/>
  <c r="L5" i="1"/>
  <c r="L6" i="1"/>
  <c r="L2" i="1"/>
  <c r="K3" i="1"/>
  <c r="K4" i="1"/>
  <c r="K5" i="1"/>
  <c r="K6" i="1"/>
  <c r="K2" i="1"/>
  <c r="J3" i="1"/>
  <c r="J4" i="1"/>
  <c r="J5" i="1"/>
  <c r="J6" i="1"/>
  <c r="J2" i="1"/>
  <c r="H6" i="1"/>
  <c r="I6" i="1" s="1"/>
  <c r="G6" i="1"/>
  <c r="H5" i="1"/>
  <c r="I5" i="1" s="1"/>
  <c r="H4" i="1"/>
  <c r="I4" i="1" s="1"/>
  <c r="G4" i="1"/>
  <c r="I3" i="1"/>
  <c r="H3" i="1"/>
  <c r="G3" i="1"/>
  <c r="H2" i="1"/>
  <c r="I2" i="1" s="1"/>
  <c r="G2" i="1"/>
  <c r="G5" i="1" l="1"/>
</calcChain>
</file>

<file path=xl/sharedStrings.xml><?xml version="1.0" encoding="utf-8"?>
<sst xmlns="http://schemas.openxmlformats.org/spreadsheetml/2006/main" count="104" uniqueCount="58">
  <si>
    <t>Name</t>
  </si>
  <si>
    <t>City</t>
  </si>
  <si>
    <t>State</t>
  </si>
  <si>
    <t>Country</t>
  </si>
  <si>
    <t>Longitude</t>
  </si>
  <si>
    <t>Latitude</t>
  </si>
  <si>
    <t>Bear Production (DMT/yr)</t>
  </si>
  <si>
    <t>Base Production (DMT/yr)</t>
  </si>
  <si>
    <t>Bull Production (DMT/yr)</t>
  </si>
  <si>
    <t>Bear Production (DST/yr)</t>
  </si>
  <si>
    <t>Base Production (DST/yr)</t>
  </si>
  <si>
    <t>Bull Production (DST/yr)</t>
  </si>
  <si>
    <t>Olin Chlor Alkali Freeport Complex</t>
  </si>
  <si>
    <t>Freeport</t>
  </si>
  <si>
    <t>Texas</t>
  </si>
  <si>
    <t>USA</t>
  </si>
  <si>
    <t>Westlake Chemical Lake Charles Complex</t>
  </si>
  <si>
    <t>Lake Charles</t>
  </si>
  <si>
    <t>Louisiana</t>
  </si>
  <si>
    <t>Olin Plaquemine Plant</t>
  </si>
  <si>
    <t>Plaquemine</t>
  </si>
  <si>
    <t>Bear Demand (DMT/yr)</t>
  </si>
  <si>
    <t>Base Demand (DMT/yr)</t>
  </si>
  <si>
    <t>Bull Demand (DMT/yr)</t>
  </si>
  <si>
    <t>Bear Demand (DST/yr)</t>
  </si>
  <si>
    <t>Base Demand (DST/yr)</t>
  </si>
  <si>
    <t>Bull Demand (DST/yr)</t>
  </si>
  <si>
    <t>Joliet Refinery</t>
  </si>
  <si>
    <t>Channahon / Joliet</t>
  </si>
  <si>
    <t>Illinois</t>
  </si>
  <si>
    <t>Baton Rouge Complex</t>
  </si>
  <si>
    <t>Baton Rouge</t>
  </si>
  <si>
    <t>Baytown Complex</t>
  </si>
  <si>
    <t>Baytown</t>
  </si>
  <si>
    <t>Beaumont Complex</t>
  </si>
  <si>
    <t>Beaumont</t>
  </si>
  <si>
    <t>Gulf Coast Growth Ventures (GCGV)</t>
  </si>
  <si>
    <t>San Patricio County / Corpus Christi</t>
  </si>
  <si>
    <t>Covestro Baytown Industrial Complex</t>
  </si>
  <si>
    <t>K.A. Steel Chemicals Inc, Olin Chlor Alkali</t>
  </si>
  <si>
    <t>Lemont</t>
  </si>
  <si>
    <t>Strathcona Refinery</t>
  </si>
  <si>
    <t>Nanticoke Refinery</t>
  </si>
  <si>
    <t>Sarnia Refinery</t>
  </si>
  <si>
    <t>Cold Lake</t>
  </si>
  <si>
    <t>Kearl</t>
  </si>
  <si>
    <t>Edmonton</t>
  </si>
  <si>
    <t>Alberta</t>
  </si>
  <si>
    <t>Nanticoke</t>
  </si>
  <si>
    <t>Ontario</t>
  </si>
  <si>
    <t>Sarnia</t>
  </si>
  <si>
    <t>Canada</t>
  </si>
  <si>
    <t>Brenntag Edmonton</t>
  </si>
  <si>
    <t>Quadra Toronto</t>
  </si>
  <si>
    <t>Brenntag Toronto</t>
  </si>
  <si>
    <t>Quadra Edmonton</t>
  </si>
  <si>
    <t>Univar Edmonton</t>
  </si>
  <si>
    <t>Toronto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</si>
</sst>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2"/>
      <color theme="0"/>
      <name val="Arial"/>
      <scheme val="minor"/>
    </font>
    <font>
      <b/>
      <sz val="12"/>
      <color rgb="FFFFFFFF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horizontal="right"/>
    </xf>
    <xf numFmtId="3" fontId="4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3" fillId="0" borderId="0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21"/>
  <sheetViews>
    <sheetView tabSelected="1" topLeftCell="C1" workbookViewId="0">
      <selection activeCell="I16" sqref="I16"/>
    </sheetView>
  </sheetViews>
  <sheetFormatPr defaultColWidth="12.6640625" defaultRowHeight="15.75" customHeight="1" x14ac:dyDescent="0.25"/>
  <cols>
    <col min="1" max="1" width="32.44140625" customWidth="1"/>
    <col min="7" max="7" width="24.77734375" customWidth="1"/>
    <col min="8" max="8" width="23.109375" customWidth="1"/>
    <col min="9" max="9" width="15.88671875" customWidth="1"/>
    <col min="10" max="10" width="16.44140625" customWidth="1"/>
    <col min="11" max="11" width="16.88671875" customWidth="1"/>
    <col min="12" max="12" width="15.88671875" customWidth="1"/>
  </cols>
  <sheetData>
    <row r="1" spans="1:25" ht="46.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6</v>
      </c>
      <c r="K1" s="2" t="s">
        <v>7</v>
      </c>
      <c r="L1" s="2" t="s">
        <v>8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3.2" x14ac:dyDescent="0.25">
      <c r="A2" s="4" t="s">
        <v>12</v>
      </c>
      <c r="B2" s="4" t="s">
        <v>13</v>
      </c>
      <c r="C2" s="4" t="s">
        <v>14</v>
      </c>
      <c r="D2" s="4" t="s">
        <v>15</v>
      </c>
      <c r="E2" s="5">
        <v>-95.359700000000004</v>
      </c>
      <c r="F2" s="5">
        <v>28.9543</v>
      </c>
      <c r="G2" s="6">
        <f>0.8*H2</f>
        <v>4940</v>
      </c>
      <c r="H2" s="6">
        <f>6175</f>
        <v>6175</v>
      </c>
      <c r="I2" s="6">
        <f>1.2*H2</f>
        <v>7410</v>
      </c>
      <c r="J2" s="7">
        <f>G2/1.10231</f>
        <v>4481.4979452241205</v>
      </c>
      <c r="K2" s="7">
        <f>H2/1.10231</f>
        <v>5601.8724315301506</v>
      </c>
      <c r="L2" s="7">
        <f>I2/1.10231</f>
        <v>6722.2469178361807</v>
      </c>
    </row>
    <row r="3" spans="1:25" ht="13.2" x14ac:dyDescent="0.25">
      <c r="A3" s="4" t="s">
        <v>16</v>
      </c>
      <c r="B3" s="4" t="s">
        <v>17</v>
      </c>
      <c r="C3" s="4" t="s">
        <v>18</v>
      </c>
      <c r="D3" s="4" t="s">
        <v>15</v>
      </c>
      <c r="E3" s="5">
        <v>-93.284199999999998</v>
      </c>
      <c r="F3" s="5">
        <v>30.213100000000001</v>
      </c>
      <c r="G3" s="6">
        <f t="shared" ref="G3:G6" si="0">0.8*H3</f>
        <v>4032</v>
      </c>
      <c r="H3" s="6">
        <f>5040</f>
        <v>5040</v>
      </c>
      <c r="I3" s="6">
        <f t="shared" ref="I3:I6" si="1">1.2*H3</f>
        <v>6048</v>
      </c>
      <c r="J3" s="7">
        <f t="shared" ref="J3:J6" si="2">G3/1.10231</f>
        <v>3657.773221688999</v>
      </c>
      <c r="K3" s="7">
        <f t="shared" ref="K3:K6" si="3">H3/1.10231</f>
        <v>4572.216527111249</v>
      </c>
      <c r="L3" s="7">
        <f t="shared" ref="L3:L6" si="4">I3/1.10231</f>
        <v>5486.659832533498</v>
      </c>
    </row>
    <row r="4" spans="1:25" ht="13.2" x14ac:dyDescent="0.25">
      <c r="A4" s="4" t="s">
        <v>19</v>
      </c>
      <c r="B4" s="4" t="s">
        <v>20</v>
      </c>
      <c r="C4" s="4" t="s">
        <v>18</v>
      </c>
      <c r="D4" s="4" t="s">
        <v>15</v>
      </c>
      <c r="E4" s="5">
        <v>-91.222999999999999</v>
      </c>
      <c r="F4" s="5">
        <v>30.268000000000001</v>
      </c>
      <c r="G4" s="6">
        <f t="shared" si="0"/>
        <v>36684.800000000003</v>
      </c>
      <c r="H4" s="6">
        <f>44440 + 1416</f>
        <v>45856</v>
      </c>
      <c r="I4" s="6">
        <f t="shared" si="1"/>
        <v>55027.199999999997</v>
      </c>
      <c r="J4" s="7">
        <f t="shared" si="2"/>
        <v>33279.930328129114</v>
      </c>
      <c r="K4" s="7">
        <f t="shared" si="3"/>
        <v>41599.912910161394</v>
      </c>
      <c r="L4" s="7">
        <f t="shared" si="4"/>
        <v>49919.895492193667</v>
      </c>
    </row>
    <row r="5" spans="1:25" ht="15.75" customHeight="1" x14ac:dyDescent="0.25">
      <c r="A5" s="7" t="s">
        <v>38</v>
      </c>
      <c r="B5" s="7" t="s">
        <v>33</v>
      </c>
      <c r="C5" s="7" t="s">
        <v>14</v>
      </c>
      <c r="D5" s="7" t="s">
        <v>15</v>
      </c>
      <c r="E5" s="7">
        <v>-94.909937999999997</v>
      </c>
      <c r="F5" s="7">
        <v>29.773209999999999</v>
      </c>
      <c r="G5" s="6">
        <f t="shared" si="0"/>
        <v>58384</v>
      </c>
      <c r="H5" s="7">
        <f>34927 + 8528 + 22400 + 7125</f>
        <v>72980</v>
      </c>
      <c r="I5" s="6">
        <f t="shared" si="1"/>
        <v>87576</v>
      </c>
      <c r="J5" s="7">
        <f t="shared" si="2"/>
        <v>52965.136848980779</v>
      </c>
      <c r="K5" s="7">
        <f t="shared" si="3"/>
        <v>66206.421061225978</v>
      </c>
      <c r="L5" s="7">
        <f t="shared" si="4"/>
        <v>79447.705273471176</v>
      </c>
    </row>
    <row r="6" spans="1:25" ht="15.75" customHeight="1" x14ac:dyDescent="0.25">
      <c r="A6" s="7" t="s">
        <v>39</v>
      </c>
      <c r="B6" s="7" t="s">
        <v>40</v>
      </c>
      <c r="C6" s="7" t="s">
        <v>29</v>
      </c>
      <c r="D6" s="7" t="s">
        <v>15</v>
      </c>
      <c r="E6" s="7">
        <v>-87.989707999999993</v>
      </c>
      <c r="F6" s="7">
        <v>41.680580999999997</v>
      </c>
      <c r="G6" s="6">
        <f t="shared" si="0"/>
        <v>15408</v>
      </c>
      <c r="H6" s="7">
        <f>19260</f>
        <v>19260</v>
      </c>
      <c r="I6" s="6">
        <f t="shared" si="1"/>
        <v>23112</v>
      </c>
      <c r="J6" s="7">
        <f t="shared" si="2"/>
        <v>13977.919097168675</v>
      </c>
      <c r="K6" s="7">
        <f t="shared" si="3"/>
        <v>17472.398871460842</v>
      </c>
      <c r="L6" s="7">
        <f t="shared" si="4"/>
        <v>20966.878645753011</v>
      </c>
    </row>
    <row r="7" spans="1:25" ht="15.75" customHeight="1" x14ac:dyDescent="0.25">
      <c r="A7" s="18" t="s">
        <v>52</v>
      </c>
      <c r="B7" s="18" t="s">
        <v>46</v>
      </c>
      <c r="C7" s="18" t="s">
        <v>47</v>
      </c>
      <c r="D7" s="18" t="s">
        <v>51</v>
      </c>
      <c r="E7">
        <v>-113.3955</v>
      </c>
      <c r="F7">
        <v>53.503500000000003</v>
      </c>
      <c r="G7">
        <v>881.84799999999996</v>
      </c>
      <c r="H7">
        <v>1102.31</v>
      </c>
      <c r="I7">
        <v>1322.7719999999999</v>
      </c>
      <c r="J7">
        <v>800</v>
      </c>
      <c r="K7">
        <v>1000</v>
      </c>
      <c r="L7">
        <v>1200</v>
      </c>
    </row>
    <row r="8" spans="1:25" ht="15.75" customHeight="1" x14ac:dyDescent="0.25">
      <c r="A8" s="18" t="s">
        <v>53</v>
      </c>
      <c r="B8" s="18" t="s">
        <v>57</v>
      </c>
      <c r="C8" s="18" t="s">
        <v>49</v>
      </c>
      <c r="D8" s="18" t="s">
        <v>51</v>
      </c>
      <c r="E8">
        <v>-79.778999999999996</v>
      </c>
      <c r="F8">
        <v>43.407899999999998</v>
      </c>
      <c r="G8">
        <v>1410.9567999999999</v>
      </c>
      <c r="H8">
        <v>1763.6959999999999</v>
      </c>
      <c r="I8">
        <v>2116.4351999999999</v>
      </c>
      <c r="J8">
        <v>1280</v>
      </c>
      <c r="K8">
        <v>1600</v>
      </c>
      <c r="L8">
        <v>1920</v>
      </c>
    </row>
    <row r="9" spans="1:25" ht="15.75" customHeight="1" x14ac:dyDescent="0.25">
      <c r="A9" s="18" t="s">
        <v>54</v>
      </c>
      <c r="B9" s="18" t="s">
        <v>57</v>
      </c>
      <c r="C9" s="18" t="s">
        <v>49</v>
      </c>
      <c r="D9" s="18" t="s">
        <v>51</v>
      </c>
      <c r="E9">
        <v>-79.563000000000002</v>
      </c>
      <c r="F9">
        <v>43.642000000000003</v>
      </c>
      <c r="G9">
        <v>1058.2175999999999</v>
      </c>
      <c r="H9">
        <v>1322.7719999999999</v>
      </c>
      <c r="I9">
        <v>1587.3263999999999</v>
      </c>
      <c r="J9">
        <v>960</v>
      </c>
      <c r="K9">
        <v>1200</v>
      </c>
      <c r="L9">
        <v>1440</v>
      </c>
    </row>
    <row r="10" spans="1:25" ht="15.75" customHeight="1" x14ac:dyDescent="0.25">
      <c r="A10" s="18" t="s">
        <v>55</v>
      </c>
      <c r="B10" s="18" t="s">
        <v>46</v>
      </c>
      <c r="C10" s="18" t="s">
        <v>47</v>
      </c>
      <c r="D10" s="18" t="s">
        <v>51</v>
      </c>
      <c r="E10">
        <v>-113.5712</v>
      </c>
      <c r="F10">
        <v>53.587699999999998</v>
      </c>
      <c r="G10">
        <v>22046.199999999997</v>
      </c>
      <c r="H10">
        <v>27557.749999999996</v>
      </c>
      <c r="I10">
        <v>33069.299999999996</v>
      </c>
      <c r="J10">
        <v>20000</v>
      </c>
      <c r="K10">
        <v>25000</v>
      </c>
      <c r="L10">
        <v>30000</v>
      </c>
    </row>
    <row r="11" spans="1:25" ht="15.75" customHeight="1" x14ac:dyDescent="0.25">
      <c r="A11" s="18" t="s">
        <v>56</v>
      </c>
      <c r="B11" s="18" t="s">
        <v>46</v>
      </c>
      <c r="C11" s="18" t="s">
        <v>47</v>
      </c>
      <c r="D11" s="18" t="s">
        <v>51</v>
      </c>
      <c r="E11">
        <v>-113.125</v>
      </c>
      <c r="F11">
        <v>53.755000000000003</v>
      </c>
      <c r="G11">
        <v>13227.72</v>
      </c>
      <c r="H11">
        <v>16534.649999999998</v>
      </c>
      <c r="I11">
        <v>19841.579999999998</v>
      </c>
      <c r="J11">
        <v>12000</v>
      </c>
      <c r="K11">
        <v>15000</v>
      </c>
      <c r="L11">
        <v>18000</v>
      </c>
    </row>
    <row r="17" spans="3:7" ht="15.75" customHeight="1" x14ac:dyDescent="0.25">
      <c r="C17" s="19"/>
      <c r="D17" s="20"/>
      <c r="E17" s="20"/>
      <c r="F17" s="19"/>
      <c r="G17" s="19"/>
    </row>
    <row r="18" spans="3:7" ht="15.75" customHeight="1" x14ac:dyDescent="0.25">
      <c r="C18" s="19"/>
      <c r="D18" s="20"/>
      <c r="E18" s="20"/>
      <c r="F18" s="19"/>
      <c r="G18" s="19"/>
    </row>
    <row r="19" spans="3:7" ht="15.75" customHeight="1" x14ac:dyDescent="0.25">
      <c r="C19" s="19"/>
      <c r="D19" s="20"/>
      <c r="E19" s="20"/>
      <c r="F19" s="19"/>
      <c r="G19" s="19"/>
    </row>
    <row r="20" spans="3:7" ht="15.75" customHeight="1" x14ac:dyDescent="0.25">
      <c r="C20" s="19"/>
      <c r="D20" s="20"/>
      <c r="E20" s="20"/>
      <c r="F20" s="19"/>
      <c r="G20" s="19"/>
    </row>
    <row r="21" spans="3:7" ht="15.75" customHeight="1" x14ac:dyDescent="0.25">
      <c r="C21" s="19"/>
      <c r="D21" s="20"/>
      <c r="E21" s="20"/>
      <c r="F21" s="19"/>
      <c r="G21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7"/>
  <sheetViews>
    <sheetView topLeftCell="C1" workbookViewId="0">
      <selection activeCell="G7" sqref="G7:L11"/>
    </sheetView>
  </sheetViews>
  <sheetFormatPr defaultColWidth="12.6640625" defaultRowHeight="15.75" customHeight="1" x14ac:dyDescent="0.25"/>
  <cols>
    <col min="1" max="1" width="30.77734375" customWidth="1"/>
    <col min="2" max="2" width="29.6640625" customWidth="1"/>
    <col min="3" max="3" width="10.21875" customWidth="1"/>
    <col min="5" max="5" width="11.44140625" customWidth="1"/>
    <col min="6" max="6" width="10.6640625" customWidth="1"/>
    <col min="7" max="7" width="19.109375" customWidth="1"/>
    <col min="8" max="8" width="19.88671875" customWidth="1"/>
    <col min="9" max="9" width="21.109375" customWidth="1"/>
    <col min="10" max="12" width="19.109375" customWidth="1"/>
  </cols>
  <sheetData>
    <row r="1" spans="1:27" ht="31.2" x14ac:dyDescent="0.25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24</v>
      </c>
      <c r="H1" s="2" t="s">
        <v>25</v>
      </c>
      <c r="I1" s="2" t="s">
        <v>26</v>
      </c>
      <c r="J1" s="2" t="s">
        <v>21</v>
      </c>
      <c r="K1" s="2" t="s">
        <v>22</v>
      </c>
      <c r="L1" s="2" t="s">
        <v>23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3.2" x14ac:dyDescent="0.25">
      <c r="A2" s="11" t="s">
        <v>27</v>
      </c>
      <c r="B2" s="11" t="s">
        <v>28</v>
      </c>
      <c r="C2" s="11" t="s">
        <v>29</v>
      </c>
      <c r="D2" s="11" t="s">
        <v>15</v>
      </c>
      <c r="E2" s="10">
        <v>-88.180300000000003</v>
      </c>
      <c r="F2" s="15">
        <v>41.428600000000003</v>
      </c>
      <c r="G2" s="14">
        <v>15408</v>
      </c>
      <c r="H2" s="13">
        <v>19260</v>
      </c>
      <c r="I2" s="13">
        <v>23112</v>
      </c>
      <c r="J2" s="12">
        <f>G2/1.10231</f>
        <v>13977.919097168675</v>
      </c>
      <c r="K2" s="13">
        <f>H2/1.10231</f>
        <v>17472.398871460842</v>
      </c>
      <c r="L2" s="13">
        <f>I2/1.10231</f>
        <v>20966.878645753011</v>
      </c>
      <c r="M2" s="9"/>
    </row>
    <row r="3" spans="1:27" ht="13.2" x14ac:dyDescent="0.25">
      <c r="A3" s="11" t="s">
        <v>30</v>
      </c>
      <c r="B3" s="11" t="s">
        <v>31</v>
      </c>
      <c r="C3" s="11" t="s">
        <v>18</v>
      </c>
      <c r="D3" s="11" t="s">
        <v>15</v>
      </c>
      <c r="E3" s="10">
        <v>-91.189499999999995</v>
      </c>
      <c r="F3" s="15">
        <v>30.485099999999999</v>
      </c>
      <c r="G3" s="14">
        <v>36684.800000000003</v>
      </c>
      <c r="H3" s="13">
        <v>45856</v>
      </c>
      <c r="I3" s="13">
        <v>55027.199999999997</v>
      </c>
      <c r="J3" s="12">
        <f t="shared" ref="J3:J6" si="0">G3/1.10231</f>
        <v>33279.930328129114</v>
      </c>
      <c r="K3" s="13">
        <f t="shared" ref="K3:K6" si="1">H3/1.10231</f>
        <v>41599.912910161394</v>
      </c>
      <c r="L3" s="13">
        <f t="shared" ref="L3:L6" si="2">I3/1.10231</f>
        <v>49919.895492193667</v>
      </c>
      <c r="M3" s="9"/>
    </row>
    <row r="4" spans="1:27" ht="13.2" x14ac:dyDescent="0.25">
      <c r="A4" s="11" t="s">
        <v>32</v>
      </c>
      <c r="B4" s="11" t="s">
        <v>33</v>
      </c>
      <c r="C4" s="11" t="s">
        <v>14</v>
      </c>
      <c r="D4" s="11" t="s">
        <v>15</v>
      </c>
      <c r="E4" s="10">
        <v>-95.011799999999994</v>
      </c>
      <c r="F4" s="15">
        <v>29.740200000000002</v>
      </c>
      <c r="G4" s="14">
        <v>34764</v>
      </c>
      <c r="H4" s="13">
        <v>43455</v>
      </c>
      <c r="I4" s="13">
        <v>52146</v>
      </c>
      <c r="J4" s="12">
        <f t="shared" si="0"/>
        <v>31537.407807241161</v>
      </c>
      <c r="K4" s="13">
        <f t="shared" si="1"/>
        <v>39421.759759051449</v>
      </c>
      <c r="L4" s="13">
        <f t="shared" si="2"/>
        <v>47306.11171086174</v>
      </c>
      <c r="M4" s="9"/>
    </row>
    <row r="5" spans="1:27" ht="13.2" x14ac:dyDescent="0.25">
      <c r="A5" s="11" t="s">
        <v>34</v>
      </c>
      <c r="B5" s="11" t="s">
        <v>35</v>
      </c>
      <c r="C5" s="11" t="s">
        <v>14</v>
      </c>
      <c r="D5" s="11" t="s">
        <v>15</v>
      </c>
      <c r="E5" s="10">
        <v>-94.084699999999998</v>
      </c>
      <c r="F5" s="15">
        <v>30.068300000000001</v>
      </c>
      <c r="G5" s="14">
        <v>27652</v>
      </c>
      <c r="H5" s="13">
        <v>34565</v>
      </c>
      <c r="I5" s="13">
        <v>41478</v>
      </c>
      <c r="J5" s="12">
        <f t="shared" si="0"/>
        <v>25085.502263428622</v>
      </c>
      <c r="K5" s="13">
        <f t="shared" si="1"/>
        <v>31356.877829285775</v>
      </c>
      <c r="L5" s="13">
        <f t="shared" si="2"/>
        <v>37628.253395142929</v>
      </c>
      <c r="M5" s="9"/>
    </row>
    <row r="6" spans="1:27" ht="13.2" x14ac:dyDescent="0.25">
      <c r="A6" s="11" t="s">
        <v>36</v>
      </c>
      <c r="B6" s="11" t="s">
        <v>37</v>
      </c>
      <c r="C6" s="11" t="s">
        <v>14</v>
      </c>
      <c r="D6" s="11" t="s">
        <v>15</v>
      </c>
      <c r="E6" s="10">
        <v>-97.288300000000007</v>
      </c>
      <c r="F6" s="15">
        <v>27.914999999999999</v>
      </c>
      <c r="G6" s="14">
        <v>4940</v>
      </c>
      <c r="H6" s="13">
        <v>6175</v>
      </c>
      <c r="I6" s="13">
        <v>7410</v>
      </c>
      <c r="J6" s="12">
        <f t="shared" si="0"/>
        <v>4481.4979452241205</v>
      </c>
      <c r="K6" s="13">
        <f t="shared" si="1"/>
        <v>5601.8724315301506</v>
      </c>
      <c r="L6" s="13">
        <f t="shared" si="2"/>
        <v>6722.2469178361807</v>
      </c>
      <c r="M6" s="9"/>
    </row>
    <row r="7" spans="1:27" ht="15.75" customHeight="1" x14ac:dyDescent="0.25">
      <c r="A7" s="10" t="s">
        <v>41</v>
      </c>
      <c r="B7" s="10" t="s">
        <v>46</v>
      </c>
      <c r="C7" s="11" t="s">
        <v>47</v>
      </c>
      <c r="D7" s="17" t="s">
        <v>51</v>
      </c>
      <c r="E7" s="10">
        <v>-113.3917</v>
      </c>
      <c r="F7" s="15">
        <v>53.546100000000003</v>
      </c>
      <c r="G7" s="10">
        <f>J7*1.10231</f>
        <v>881.84799999999996</v>
      </c>
      <c r="H7" s="10">
        <f>K7*1.10231</f>
        <v>1102.31</v>
      </c>
      <c r="I7" s="15">
        <f>L7*1.10231</f>
        <v>1322.7719999999999</v>
      </c>
      <c r="J7" s="10">
        <f>0.8*K7</f>
        <v>800</v>
      </c>
      <c r="K7" s="10">
        <v>1000</v>
      </c>
      <c r="L7" s="10">
        <f>1.2*K7</f>
        <v>1200</v>
      </c>
    </row>
    <row r="8" spans="1:27" ht="13.2" x14ac:dyDescent="0.25">
      <c r="A8" s="10" t="s">
        <v>42</v>
      </c>
      <c r="B8" s="10" t="s">
        <v>48</v>
      </c>
      <c r="C8" s="10" t="s">
        <v>49</v>
      </c>
      <c r="D8" s="17" t="s">
        <v>51</v>
      </c>
      <c r="E8" s="11">
        <v>-80.051699999999997</v>
      </c>
      <c r="F8" s="15">
        <v>42.837499999999999</v>
      </c>
      <c r="G8" s="10">
        <f t="shared" ref="G8:G11" si="3">J8*1.10231</f>
        <v>1410.9567999999999</v>
      </c>
      <c r="H8" s="10">
        <f t="shared" ref="H8:H11" si="4">K8*1.10231</f>
        <v>1763.6959999999999</v>
      </c>
      <c r="I8" s="15">
        <f t="shared" ref="I8:I11" si="5">L8*1.10231</f>
        <v>2116.4351999999999</v>
      </c>
      <c r="J8" s="10">
        <f t="shared" ref="J8:J11" si="6">0.8*K8</f>
        <v>1280</v>
      </c>
      <c r="K8" s="10">
        <v>1600</v>
      </c>
      <c r="L8" s="10">
        <f t="shared" ref="L8:L11" si="7">1.2*K8</f>
        <v>1920</v>
      </c>
    </row>
    <row r="9" spans="1:27" ht="15.75" customHeight="1" x14ac:dyDescent="0.25">
      <c r="A9" s="10" t="s">
        <v>43</v>
      </c>
      <c r="B9" s="10" t="s">
        <v>50</v>
      </c>
      <c r="C9" s="10" t="s">
        <v>49</v>
      </c>
      <c r="D9" s="17" t="s">
        <v>51</v>
      </c>
      <c r="E9" s="11">
        <v>-82.415999999999997</v>
      </c>
      <c r="F9" s="16">
        <v>42.951900000000002</v>
      </c>
      <c r="G9" s="10">
        <f t="shared" si="3"/>
        <v>1058.2175999999999</v>
      </c>
      <c r="H9" s="10">
        <f t="shared" si="4"/>
        <v>1322.7719999999999</v>
      </c>
      <c r="I9" s="15">
        <f t="shared" si="5"/>
        <v>1587.3263999999999</v>
      </c>
      <c r="J9" s="10">
        <f t="shared" si="6"/>
        <v>960</v>
      </c>
      <c r="K9" s="10">
        <v>1200</v>
      </c>
      <c r="L9" s="10">
        <f t="shared" si="7"/>
        <v>1440</v>
      </c>
    </row>
    <row r="10" spans="1:27" ht="15.75" customHeight="1" x14ac:dyDescent="0.25">
      <c r="A10" s="10" t="s">
        <v>44</v>
      </c>
      <c r="B10" s="10" t="s">
        <v>44</v>
      </c>
      <c r="C10" s="10" t="s">
        <v>47</v>
      </c>
      <c r="D10" s="17" t="s">
        <v>51</v>
      </c>
      <c r="E10" s="11">
        <v>-110.47199999999999</v>
      </c>
      <c r="F10" s="16">
        <v>54.612099999999998</v>
      </c>
      <c r="G10" s="10">
        <f t="shared" si="3"/>
        <v>22046.199999999997</v>
      </c>
      <c r="H10" s="10">
        <f t="shared" si="4"/>
        <v>27557.749999999996</v>
      </c>
      <c r="I10" s="15">
        <f t="shared" si="5"/>
        <v>33069.299999999996</v>
      </c>
      <c r="J10" s="10">
        <f t="shared" si="6"/>
        <v>20000</v>
      </c>
      <c r="K10" s="10">
        <v>25000</v>
      </c>
      <c r="L10" s="10">
        <f t="shared" si="7"/>
        <v>30000</v>
      </c>
    </row>
    <row r="11" spans="1:27" ht="15.75" customHeight="1" x14ac:dyDescent="0.25">
      <c r="A11" s="10" t="s">
        <v>45</v>
      </c>
      <c r="B11" s="10" t="s">
        <v>45</v>
      </c>
      <c r="C11" s="10" t="s">
        <v>47</v>
      </c>
      <c r="D11" s="17" t="s">
        <v>51</v>
      </c>
      <c r="E11" s="11">
        <v>-111.24639999999999</v>
      </c>
      <c r="F11" s="16">
        <v>57.295200000000001</v>
      </c>
      <c r="G11" s="10">
        <f t="shared" si="3"/>
        <v>13227.72</v>
      </c>
      <c r="H11" s="10">
        <f t="shared" si="4"/>
        <v>16534.649999999998</v>
      </c>
      <c r="I11" s="15">
        <f t="shared" si="5"/>
        <v>19841.579999999998</v>
      </c>
      <c r="J11" s="10">
        <f t="shared" si="6"/>
        <v>12000</v>
      </c>
      <c r="K11" s="10">
        <v>15000</v>
      </c>
      <c r="L11" s="10">
        <f t="shared" si="7"/>
        <v>18000</v>
      </c>
    </row>
    <row r="12" spans="1:27" ht="15.75" customHeight="1" x14ac:dyDescent="0.25">
      <c r="E12" s="8"/>
      <c r="F12" s="8"/>
    </row>
    <row r="13" spans="1:27" ht="15.75" customHeight="1" x14ac:dyDescent="0.25">
      <c r="E13" s="8"/>
      <c r="F13" s="8"/>
    </row>
    <row r="14" spans="1:27" ht="15.75" customHeight="1" x14ac:dyDescent="0.25">
      <c r="E14" s="8"/>
      <c r="F14" s="8"/>
    </row>
    <row r="15" spans="1:27" ht="15.75" customHeight="1" x14ac:dyDescent="0.25">
      <c r="E15" s="8"/>
      <c r="F15" s="8"/>
    </row>
    <row r="16" spans="1:27" ht="15.75" customHeight="1" x14ac:dyDescent="0.25">
      <c r="E16" s="8"/>
      <c r="F16" s="8"/>
    </row>
    <row r="17" spans="6:6" ht="15.75" customHeight="1" x14ac:dyDescent="0.25">
      <c r="F17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Sources</vt:lpstr>
      <vt:lpstr>Sinks</vt:lpstr>
      <vt:lpstr>Edges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Shammas Ahmed</cp:lastModifiedBy>
  <dcterms:modified xsi:type="dcterms:W3CDTF">2026-10-16T21:48:03Z</dcterms:modified>
</cp:coreProperties>
</file>