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rces" sheetId="1" r:id="rId5"/>
    <sheet state="visible" name="Sinks" sheetId="2" r:id="rId6"/>
    <sheet state="visible" name="Edges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tc={9657acb3-d37a-49c5-ada1-034a7516d7cb}</author>
  </authors>
  <commentList>
    <comment authorId="0" xr:uid="{9657acb3-d37a-49c5-ada1-034a7516d7cb}" ref="M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50% liquid caustic has density of ~1.52g/cm3
</t>
      </text>
    </comment>
  </commentList>
</comments>
</file>

<file path=xl/sharedStrings.xml><?xml version="1.0" encoding="utf-8"?>
<sst xmlns="http://schemas.openxmlformats.org/spreadsheetml/2006/main" count="101" uniqueCount="66">
  <si>
    <t>Name</t>
  </si>
  <si>
    <t>City</t>
  </si>
  <si>
    <t>State</t>
  </si>
  <si>
    <t>Country</t>
  </si>
  <si>
    <t>Longitude</t>
  </si>
  <si>
    <t>Latitude</t>
  </si>
  <si>
    <t>Bear Production (DMT/yr)</t>
  </si>
  <si>
    <t>Base Production (DMT/yr)</t>
  </si>
  <si>
    <t>Bull Production (DMT/yr)</t>
  </si>
  <si>
    <t>Bear Production (DST/yr)</t>
  </si>
  <si>
    <t>Base Production (DST/yr)</t>
  </si>
  <si>
    <t>Bull Production (DST/yr)</t>
  </si>
  <si>
    <t>Olin Chlor Alkali Freeport Complex</t>
  </si>
  <si>
    <t>Freeport</t>
  </si>
  <si>
    <t>Texas</t>
  </si>
  <si>
    <t>USA</t>
  </si>
  <si>
    <t>Westlake Chemical Lake Charles Complex</t>
  </si>
  <si>
    <t>Lake Charles</t>
  </si>
  <si>
    <t>Louisiana</t>
  </si>
  <si>
    <t>Olin Plaquemine Plant</t>
  </si>
  <si>
    <t>Plaquemine</t>
  </si>
  <si>
    <t>Shintech Plaquemine Chlor-Alkali Plant</t>
  </si>
  <si>
    <t>Formosa Plastics Point Comfort Plant</t>
  </si>
  <si>
    <t>Point Comfort</t>
  </si>
  <si>
    <t>OxyChem Taft Plant</t>
  </si>
  <si>
    <t>Hahnville</t>
  </si>
  <si>
    <t>OxyChem Geismar Plant</t>
  </si>
  <si>
    <t>Geismar</t>
  </si>
  <si>
    <t>Olin McIntosh Plant</t>
  </si>
  <si>
    <t>McIntosh</t>
  </si>
  <si>
    <t>Alabama</t>
  </si>
  <si>
    <t>OxyChem Ingleside Plant</t>
  </si>
  <si>
    <t>Ingleside</t>
  </si>
  <si>
    <t>Westlake Chemical Calvert City Plant</t>
  </si>
  <si>
    <t>Calvert City</t>
  </si>
  <si>
    <t>Kentucky</t>
  </si>
  <si>
    <t>Facility Name</t>
  </si>
  <si>
    <t>Bear Demand (DMT/yr)</t>
  </si>
  <si>
    <t>Base Demand (DMT/yr)</t>
  </si>
  <si>
    <t>Bull Demand (DMT/yr)</t>
  </si>
  <si>
    <t>Bear Demand (DST/yr)</t>
  </si>
  <si>
    <t>Base Demand (DST/yr)</t>
  </si>
  <si>
    <t>Bull Demand (DST/yr)</t>
  </si>
  <si>
    <t>Volumetric Caustic (Gal/Yr)</t>
  </si>
  <si>
    <t>North Slope Processing Facilities</t>
  </si>
  <si>
    <t>Prudhoe Bay &amp; Point Thomson</t>
  </si>
  <si>
    <t>Alaska</t>
  </si>
  <si>
    <t>Pensacola Plant</t>
  </si>
  <si>
    <t>Pensacola</t>
  </si>
  <si>
    <t>Florida</t>
  </si>
  <si>
    <t>Joliet Refinery</t>
  </si>
  <si>
    <t>Channahon / Joliet</t>
  </si>
  <si>
    <t>Illinois</t>
  </si>
  <si>
    <t>Baton Rouge Complex</t>
  </si>
  <si>
    <t>Baton Rouge</t>
  </si>
  <si>
    <t>Linden / Bayway Chemical Plant</t>
  </si>
  <si>
    <t>Linden</t>
  </si>
  <si>
    <t>New Jersey</t>
  </si>
  <si>
    <t>Baytown Complex</t>
  </si>
  <si>
    <t>Baytown</t>
  </si>
  <si>
    <t>Beaumont Complex</t>
  </si>
  <si>
    <t>Beaumont</t>
  </si>
  <si>
    <t>Mont Belvieu Plastics Plant</t>
  </si>
  <si>
    <t>Mont Belvieu</t>
  </si>
  <si>
    <t>Gulf Coast Growth Ventures (GCGV)</t>
  </si>
  <si>
    <t>San Patricio County / Corpus Christi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</si>
</sst>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theme="0"/>
      <name val="Arial"/>
      <scheme val="minor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i/>
      <sz val="9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</fills>
  <borders count="3">
    <border/>
    <border>
      <left style="thin">
        <color rgb="FF000000"/>
      </left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3" xfId="0" applyAlignment="1" applyFont="1" applyNumberFormat="1">
      <alignment readingOrder="0" vertical="bottom"/>
    </xf>
    <xf borderId="0" fillId="0" fontId="3" numFmtId="0" xfId="0" applyFont="1"/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0" fillId="0" fontId="3" numFmtId="3" xfId="0" applyAlignment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/>
    </xf>
    <xf borderId="2" fillId="0" fontId="3" numFmtId="3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readingOrder="0"/>
    </xf>
    <xf borderId="0" fillId="0" fontId="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hammas Ahmed" id="{7149d9b8-27be-4ac8-8663-693842e2596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1" dT="2026-10-03T21:19:56.00" personId="{7149d9b8-27be-4ac8-8663-693842e25966}" id="{9657acb3-d37a-49c5-ada1-034a7516d7cb}" done="0">
    <x18tc:text xml:space="preserve">50% liquid caustic has density of ~1.52g/cm3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7" max="7" width="24.75"/>
    <col customWidth="1" min="8" max="8" width="23.13"/>
    <col customWidth="1" min="9" max="9" width="15.88"/>
    <col customWidth="1" min="10" max="10" width="16.5"/>
    <col customWidth="1" min="11" max="11" width="16.88"/>
    <col customWidth="1" min="12" max="12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4" t="s">
        <v>13</v>
      </c>
      <c r="C2" s="4" t="s">
        <v>14</v>
      </c>
      <c r="D2" s="4" t="s">
        <v>15</v>
      </c>
      <c r="E2" s="5">
        <v>-95.3597</v>
      </c>
      <c r="F2" s="5">
        <v>28.9543</v>
      </c>
      <c r="G2" s="6">
        <v>2250000.0</v>
      </c>
      <c r="H2" s="6">
        <v>2640000.0</v>
      </c>
      <c r="I2" s="6">
        <v>2940000.0</v>
      </c>
      <c r="J2" s="7">
        <f t="shared" ref="J2:L2" si="1">G2*1.10231</f>
        <v>2480197.5</v>
      </c>
      <c r="K2" s="7">
        <f t="shared" si="1"/>
        <v>2910098.4</v>
      </c>
      <c r="L2" s="7">
        <f t="shared" si="1"/>
        <v>3240791.4</v>
      </c>
    </row>
    <row r="3">
      <c r="A3" s="4" t="s">
        <v>16</v>
      </c>
      <c r="B3" s="4" t="s">
        <v>17</v>
      </c>
      <c r="C3" s="4" t="s">
        <v>18</v>
      </c>
      <c r="D3" s="4" t="s">
        <v>15</v>
      </c>
      <c r="E3" s="5">
        <v>-93.2842</v>
      </c>
      <c r="F3" s="5">
        <v>30.2131</v>
      </c>
      <c r="G3" s="6">
        <v>900000.0</v>
      </c>
      <c r="H3" s="6">
        <v>1056000.0</v>
      </c>
      <c r="I3" s="6">
        <v>1176000.0</v>
      </c>
      <c r="J3" s="7">
        <f t="shared" ref="J3:L3" si="2">G3*1.10231</f>
        <v>992079</v>
      </c>
      <c r="K3" s="7">
        <f t="shared" si="2"/>
        <v>1164039.36</v>
      </c>
      <c r="L3" s="7">
        <f t="shared" si="2"/>
        <v>1296316.56</v>
      </c>
    </row>
    <row r="4">
      <c r="A4" s="4" t="s">
        <v>19</v>
      </c>
      <c r="B4" s="4" t="s">
        <v>20</v>
      </c>
      <c r="C4" s="4" t="s">
        <v>18</v>
      </c>
      <c r="D4" s="4" t="s">
        <v>15</v>
      </c>
      <c r="E4" s="5">
        <v>-91.223</v>
      </c>
      <c r="F4" s="5">
        <v>30.268</v>
      </c>
      <c r="G4" s="6">
        <v>750000.0</v>
      </c>
      <c r="H4" s="6">
        <v>880000.0</v>
      </c>
      <c r="I4" s="6">
        <v>980000.0</v>
      </c>
      <c r="J4" s="7">
        <f t="shared" ref="J4:L4" si="3">G4*1.10231</f>
        <v>826732.5</v>
      </c>
      <c r="K4" s="7">
        <f t="shared" si="3"/>
        <v>970032.8</v>
      </c>
      <c r="L4" s="7">
        <f t="shared" si="3"/>
        <v>1080263.8</v>
      </c>
    </row>
    <row r="5">
      <c r="A5" s="4" t="s">
        <v>21</v>
      </c>
      <c r="B5" s="4" t="s">
        <v>20</v>
      </c>
      <c r="C5" s="4" t="s">
        <v>18</v>
      </c>
      <c r="D5" s="4" t="s">
        <v>15</v>
      </c>
      <c r="E5" s="5">
        <v>-91.2215</v>
      </c>
      <c r="F5" s="5">
        <v>30.2522</v>
      </c>
      <c r="G5" s="6">
        <v>637500.0</v>
      </c>
      <c r="H5" s="6">
        <v>748000.0</v>
      </c>
      <c r="I5" s="6">
        <v>833000.0</v>
      </c>
      <c r="J5" s="7">
        <f t="shared" ref="J5:L5" si="4">G5*1.10231</f>
        <v>702722.625</v>
      </c>
      <c r="K5" s="7">
        <f t="shared" si="4"/>
        <v>824527.88</v>
      </c>
      <c r="L5" s="7">
        <f t="shared" si="4"/>
        <v>918224.23</v>
      </c>
    </row>
    <row r="6">
      <c r="A6" s="4" t="s">
        <v>22</v>
      </c>
      <c r="B6" s="4" t="s">
        <v>23</v>
      </c>
      <c r="C6" s="4" t="s">
        <v>14</v>
      </c>
      <c r="D6" s="4" t="s">
        <v>15</v>
      </c>
      <c r="E6" s="5">
        <v>-96.5583</v>
      </c>
      <c r="F6" s="5">
        <v>28.6942</v>
      </c>
      <c r="G6" s="6">
        <v>600000.0</v>
      </c>
      <c r="H6" s="6">
        <v>704000.0</v>
      </c>
      <c r="I6" s="6">
        <v>784000.0</v>
      </c>
      <c r="J6" s="7">
        <f t="shared" ref="J6:L6" si="5">G6*1.10231</f>
        <v>661386</v>
      </c>
      <c r="K6" s="7">
        <f t="shared" si="5"/>
        <v>776026.24</v>
      </c>
      <c r="L6" s="7">
        <f t="shared" si="5"/>
        <v>864211.04</v>
      </c>
    </row>
    <row r="7">
      <c r="A7" s="4" t="s">
        <v>24</v>
      </c>
      <c r="B7" s="4" t="s">
        <v>25</v>
      </c>
      <c r="C7" s="4" t="s">
        <v>18</v>
      </c>
      <c r="D7" s="4" t="s">
        <v>15</v>
      </c>
      <c r="E7" s="5">
        <v>-90.4578</v>
      </c>
      <c r="F7" s="5">
        <v>29.9928</v>
      </c>
      <c r="G7" s="6">
        <v>562500.0</v>
      </c>
      <c r="H7" s="6">
        <v>660000.0</v>
      </c>
      <c r="I7" s="6">
        <v>735000.0</v>
      </c>
      <c r="J7" s="7">
        <f t="shared" ref="J7:L7" si="6">G7*1.10231</f>
        <v>620049.375</v>
      </c>
      <c r="K7" s="7">
        <f t="shared" si="6"/>
        <v>727524.6</v>
      </c>
      <c r="L7" s="7">
        <f t="shared" si="6"/>
        <v>810197.85</v>
      </c>
    </row>
    <row r="8">
      <c r="A8" s="4" t="s">
        <v>26</v>
      </c>
      <c r="B8" s="4" t="s">
        <v>27</v>
      </c>
      <c r="C8" s="4" t="s">
        <v>18</v>
      </c>
      <c r="D8" s="4" t="s">
        <v>15</v>
      </c>
      <c r="E8" s="5">
        <v>-91.0261</v>
      </c>
      <c r="F8" s="5">
        <v>30.2223</v>
      </c>
      <c r="G8" s="6">
        <v>525000.0</v>
      </c>
      <c r="H8" s="6">
        <v>616000.0</v>
      </c>
      <c r="I8" s="6">
        <v>686000.0</v>
      </c>
      <c r="J8" s="7">
        <f t="shared" ref="J8:L8" si="7">G8*1.10231</f>
        <v>578712.75</v>
      </c>
      <c r="K8" s="7">
        <f t="shared" si="7"/>
        <v>679022.96</v>
      </c>
      <c r="L8" s="7">
        <f t="shared" si="7"/>
        <v>756184.66</v>
      </c>
    </row>
    <row r="9">
      <c r="A9" s="4" t="s">
        <v>28</v>
      </c>
      <c r="B9" s="4" t="s">
        <v>29</v>
      </c>
      <c r="C9" s="4" t="s">
        <v>30</v>
      </c>
      <c r="D9" s="4" t="s">
        <v>15</v>
      </c>
      <c r="E9" s="5">
        <v>-88.0336</v>
      </c>
      <c r="F9" s="5">
        <v>31.2688</v>
      </c>
      <c r="G9" s="6">
        <v>450000.0</v>
      </c>
      <c r="H9" s="6">
        <v>528000.0</v>
      </c>
      <c r="I9" s="6">
        <v>588000.0</v>
      </c>
      <c r="J9" s="7">
        <f t="shared" ref="J9:L9" si="8">G9*1.10231</f>
        <v>496039.5</v>
      </c>
      <c r="K9" s="7">
        <f t="shared" si="8"/>
        <v>582019.68</v>
      </c>
      <c r="L9" s="7">
        <f t="shared" si="8"/>
        <v>648158.28</v>
      </c>
    </row>
    <row r="10">
      <c r="A10" s="4" t="s">
        <v>31</v>
      </c>
      <c r="B10" s="4" t="s">
        <v>32</v>
      </c>
      <c r="C10" s="4" t="s">
        <v>14</v>
      </c>
      <c r="D10" s="4" t="s">
        <v>15</v>
      </c>
      <c r="E10" s="5">
        <v>-97.2289</v>
      </c>
      <c r="F10" s="5">
        <v>27.8828</v>
      </c>
      <c r="G10" s="6">
        <v>412500.0</v>
      </c>
      <c r="H10" s="6">
        <v>484000.0</v>
      </c>
      <c r="I10" s="6">
        <v>539000.0</v>
      </c>
      <c r="J10" s="7">
        <f t="shared" ref="J10:L10" si="9">G10*1.10231</f>
        <v>454702.875</v>
      </c>
      <c r="K10" s="7">
        <f t="shared" si="9"/>
        <v>533518.04</v>
      </c>
      <c r="L10" s="7">
        <f t="shared" si="9"/>
        <v>594145.09</v>
      </c>
    </row>
    <row r="11">
      <c r="A11" s="4" t="s">
        <v>33</v>
      </c>
      <c r="B11" s="4" t="s">
        <v>34</v>
      </c>
      <c r="C11" s="4" t="s">
        <v>35</v>
      </c>
      <c r="D11" s="4" t="s">
        <v>15</v>
      </c>
      <c r="E11" s="5">
        <v>-88.3512</v>
      </c>
      <c r="F11" s="5">
        <v>37.0345</v>
      </c>
      <c r="G11" s="6">
        <v>337500.0</v>
      </c>
      <c r="H11" s="6">
        <v>396000.0</v>
      </c>
      <c r="I11" s="6">
        <v>441000.0</v>
      </c>
      <c r="J11" s="7">
        <f t="shared" ref="J11:L11" si="10">G11*1.10231</f>
        <v>372029.625</v>
      </c>
      <c r="K11" s="7">
        <f t="shared" si="10"/>
        <v>436514.76</v>
      </c>
      <c r="L11" s="7">
        <f t="shared" si="10"/>
        <v>486118.71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75"/>
    <col customWidth="1" min="2" max="2" width="29.63"/>
    <col customWidth="1" min="3" max="3" width="10.25"/>
    <col customWidth="1" min="5" max="5" width="11.5"/>
    <col customWidth="1" min="6" max="6" width="10.63"/>
    <col customWidth="1" min="7" max="7" width="19.13"/>
    <col customWidth="1" min="8" max="8" width="19.88"/>
    <col customWidth="1" min="9" max="9" width="21.13"/>
    <col customWidth="1" min="10" max="13" width="19.13"/>
  </cols>
  <sheetData>
    <row r="1">
      <c r="A1" s="2" t="s">
        <v>36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8" t="s">
        <v>44</v>
      </c>
      <c r="B2" s="8" t="s">
        <v>45</v>
      </c>
      <c r="C2" s="8" t="s">
        <v>46</v>
      </c>
      <c r="D2" s="8" t="s">
        <v>15</v>
      </c>
      <c r="E2" s="8">
        <v>70.2552</v>
      </c>
      <c r="F2" s="8">
        <v>-148.3384</v>
      </c>
      <c r="G2" s="9">
        <v>600.0</v>
      </c>
      <c r="H2" s="10">
        <v>1200.0</v>
      </c>
      <c r="I2" s="10">
        <v>2000.0</v>
      </c>
      <c r="J2" s="11">
        <f t="shared" ref="J2:L2" si="1">G2*1.10231</f>
        <v>661.386</v>
      </c>
      <c r="K2" s="10">
        <f t="shared" si="1"/>
        <v>1322.772</v>
      </c>
      <c r="L2" s="10">
        <f t="shared" si="1"/>
        <v>2204.62</v>
      </c>
      <c r="M2" s="12">
        <v>380000.0</v>
      </c>
      <c r="N2" s="13"/>
    </row>
    <row r="3">
      <c r="A3" s="8" t="s">
        <v>47</v>
      </c>
      <c r="B3" s="8" t="s">
        <v>48</v>
      </c>
      <c r="C3" s="8" t="s">
        <v>49</v>
      </c>
      <c r="D3" s="8" t="s">
        <v>15</v>
      </c>
      <c r="E3" s="8">
        <v>30.6033</v>
      </c>
      <c r="F3" s="8">
        <v>-87.2711</v>
      </c>
      <c r="G3" s="9">
        <v>400.0</v>
      </c>
      <c r="H3" s="8">
        <v>800.0</v>
      </c>
      <c r="I3" s="10">
        <v>1300.0</v>
      </c>
      <c r="J3" s="11">
        <f t="shared" ref="J3:L3" si="2">G3*1.10231</f>
        <v>440.924</v>
      </c>
      <c r="K3" s="10">
        <f t="shared" si="2"/>
        <v>881.848</v>
      </c>
      <c r="L3" s="10">
        <f t="shared" si="2"/>
        <v>1433.003</v>
      </c>
      <c r="M3" s="12">
        <v>250000.0</v>
      </c>
      <c r="N3" s="13"/>
    </row>
    <row r="4">
      <c r="A4" s="8" t="s">
        <v>50</v>
      </c>
      <c r="B4" s="8" t="s">
        <v>51</v>
      </c>
      <c r="C4" s="8" t="s">
        <v>52</v>
      </c>
      <c r="D4" s="8" t="s">
        <v>15</v>
      </c>
      <c r="E4" s="8">
        <v>41.4286</v>
      </c>
      <c r="F4" s="8">
        <v>-88.1803</v>
      </c>
      <c r="G4" s="11">
        <v>3500.0</v>
      </c>
      <c r="H4" s="10">
        <v>5500.0</v>
      </c>
      <c r="I4" s="10">
        <v>8000.0</v>
      </c>
      <c r="J4" s="11">
        <f t="shared" ref="J4:L4" si="3">G4*1.10231</f>
        <v>3858.085</v>
      </c>
      <c r="K4" s="10">
        <f t="shared" si="3"/>
        <v>6062.705</v>
      </c>
      <c r="L4" s="10">
        <f t="shared" si="3"/>
        <v>8818.48</v>
      </c>
      <c r="M4" s="12">
        <v>1730000.0</v>
      </c>
      <c r="N4" s="13"/>
    </row>
    <row r="5">
      <c r="A5" s="8" t="s">
        <v>53</v>
      </c>
      <c r="B5" s="8" t="s">
        <v>54</v>
      </c>
      <c r="C5" s="8" t="s">
        <v>18</v>
      </c>
      <c r="D5" s="8" t="s">
        <v>15</v>
      </c>
      <c r="E5" s="8">
        <v>30.4851</v>
      </c>
      <c r="F5" s="8">
        <v>-91.1895</v>
      </c>
      <c r="G5" s="11">
        <v>10000.0</v>
      </c>
      <c r="H5" s="10">
        <v>15000.0</v>
      </c>
      <c r="I5" s="10">
        <v>21000.0</v>
      </c>
      <c r="J5" s="11">
        <f t="shared" ref="J5:L5" si="4">G5*1.10231</f>
        <v>11023.1</v>
      </c>
      <c r="K5" s="10">
        <f t="shared" si="4"/>
        <v>16534.65</v>
      </c>
      <c r="L5" s="10">
        <f t="shared" si="4"/>
        <v>23148.51</v>
      </c>
      <c r="M5" s="12">
        <v>4710000.0</v>
      </c>
      <c r="N5" s="13"/>
    </row>
    <row r="6">
      <c r="A6" s="8" t="s">
        <v>55</v>
      </c>
      <c r="B6" s="8" t="s">
        <v>56</v>
      </c>
      <c r="C6" s="8" t="s">
        <v>57</v>
      </c>
      <c r="D6" s="8" t="s">
        <v>15</v>
      </c>
      <c r="E6" s="8">
        <v>40.6387</v>
      </c>
      <c r="F6" s="8">
        <v>-74.2251</v>
      </c>
      <c r="G6" s="9">
        <v>800.0</v>
      </c>
      <c r="H6" s="10">
        <v>1500.0</v>
      </c>
      <c r="I6" s="10">
        <v>2500.0</v>
      </c>
      <c r="J6" s="11">
        <f t="shared" ref="J6:L6" si="5">G6*1.10231</f>
        <v>881.848</v>
      </c>
      <c r="K6" s="10">
        <f t="shared" si="5"/>
        <v>1653.465</v>
      </c>
      <c r="L6" s="10">
        <f t="shared" si="5"/>
        <v>2755.775</v>
      </c>
      <c r="M6" s="12">
        <v>470000.0</v>
      </c>
      <c r="N6" s="13"/>
    </row>
    <row r="7">
      <c r="A7" s="8" t="s">
        <v>58</v>
      </c>
      <c r="B7" s="8" t="s">
        <v>59</v>
      </c>
      <c r="C7" s="8" t="s">
        <v>14</v>
      </c>
      <c r="D7" s="8" t="s">
        <v>15</v>
      </c>
      <c r="E7" s="8">
        <v>29.7402</v>
      </c>
      <c r="F7" s="8">
        <v>-95.0118</v>
      </c>
      <c r="G7" s="11">
        <v>12000.0</v>
      </c>
      <c r="H7" s="10">
        <v>18000.0</v>
      </c>
      <c r="I7" s="10">
        <v>25000.0</v>
      </c>
      <c r="J7" s="11">
        <f t="shared" ref="J7:L7" si="6">G7*1.10231</f>
        <v>13227.72</v>
      </c>
      <c r="K7" s="10">
        <f t="shared" si="6"/>
        <v>19841.58</v>
      </c>
      <c r="L7" s="10">
        <f t="shared" si="6"/>
        <v>27557.75</v>
      </c>
      <c r="M7" s="12">
        <v>5650000.0</v>
      </c>
      <c r="N7" s="13"/>
    </row>
    <row r="8">
      <c r="A8" s="8" t="s">
        <v>60</v>
      </c>
      <c r="B8" s="8" t="s">
        <v>61</v>
      </c>
      <c r="C8" s="8" t="s">
        <v>14</v>
      </c>
      <c r="D8" s="8" t="s">
        <v>15</v>
      </c>
      <c r="E8" s="8">
        <v>30.0683</v>
      </c>
      <c r="F8" s="8">
        <v>-94.0847</v>
      </c>
      <c r="G8" s="11">
        <v>11000.0</v>
      </c>
      <c r="H8" s="10">
        <v>16500.0</v>
      </c>
      <c r="I8" s="10">
        <v>23000.0</v>
      </c>
      <c r="J8" s="11">
        <f t="shared" ref="J8:L8" si="7">G8*1.10231</f>
        <v>12125.41</v>
      </c>
      <c r="K8" s="10">
        <f t="shared" si="7"/>
        <v>18188.115</v>
      </c>
      <c r="L8" s="10">
        <f t="shared" si="7"/>
        <v>25353.13</v>
      </c>
      <c r="M8" s="12">
        <v>5180000.0</v>
      </c>
      <c r="N8" s="13"/>
    </row>
    <row r="9">
      <c r="A9" s="8" t="s">
        <v>62</v>
      </c>
      <c r="B9" s="8" t="s">
        <v>63</v>
      </c>
      <c r="C9" s="8" t="s">
        <v>14</v>
      </c>
      <c r="D9" s="8" t="s">
        <v>15</v>
      </c>
      <c r="E9" s="8">
        <v>29.8378</v>
      </c>
      <c r="F9" s="8">
        <v>-94.8872</v>
      </c>
      <c r="G9" s="9">
        <v>500.0</v>
      </c>
      <c r="H9" s="10">
        <v>1000.0</v>
      </c>
      <c r="I9" s="10">
        <v>1800.0</v>
      </c>
      <c r="J9" s="11">
        <f t="shared" ref="J9:L9" si="8">G9*1.10231</f>
        <v>551.155</v>
      </c>
      <c r="K9" s="10">
        <f t="shared" si="8"/>
        <v>1102.31</v>
      </c>
      <c r="L9" s="10">
        <f t="shared" si="8"/>
        <v>1984.158</v>
      </c>
      <c r="M9" s="12">
        <v>310000.0</v>
      </c>
      <c r="N9" s="13"/>
    </row>
    <row r="10">
      <c r="A10" s="8" t="s">
        <v>64</v>
      </c>
      <c r="B10" s="8" t="s">
        <v>65</v>
      </c>
      <c r="C10" s="8" t="s">
        <v>14</v>
      </c>
      <c r="D10" s="8" t="s">
        <v>15</v>
      </c>
      <c r="E10" s="8">
        <v>27.915</v>
      </c>
      <c r="F10" s="8">
        <v>-97.2883</v>
      </c>
      <c r="G10" s="11">
        <v>2500.0</v>
      </c>
      <c r="H10" s="10">
        <v>4000.0</v>
      </c>
      <c r="I10" s="10">
        <v>6000.0</v>
      </c>
      <c r="J10" s="11">
        <f t="shared" ref="J10:L10" si="9">G10*1.10231</f>
        <v>2755.775</v>
      </c>
      <c r="K10" s="10">
        <f t="shared" si="9"/>
        <v>4409.24</v>
      </c>
      <c r="L10" s="10">
        <f t="shared" si="9"/>
        <v>6613.86</v>
      </c>
      <c r="M10" s="12">
        <v>1250000.0</v>
      </c>
      <c r="N10" s="13"/>
    </row>
    <row r="12">
      <c r="M12" s="14"/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